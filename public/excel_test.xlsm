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IGABYTE\Downloads\"/>
    </mc:Choice>
  </mc:AlternateContent>
  <xr:revisionPtr revIDLastSave="0" documentId="8_{CDD18B9E-6D2D-4286-B15B-0A5134FFB083}" xr6:coauthVersionLast="45" xr6:coauthVersionMax="45" xr10:uidLastSave="{00000000-0000-0000-0000-000000000000}"/>
  <bookViews>
    <workbookView xWindow="-120" yWindow="-120" windowWidth="29040" windowHeight="15720" xr2:uid="{A6E3B080-BCE9-4D94-8D3D-8E217A56E4A4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" i="1" l="1"/>
  <c r="K14" i="1"/>
  <c r="K15" i="1"/>
  <c r="K16" i="1"/>
  <c r="K17" i="1"/>
  <c r="K18" i="1"/>
  <c r="K19" i="1"/>
  <c r="N13" i="1"/>
  <c r="K13" i="1"/>
  <c r="R1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YOVANI</author>
    <author>ECOMAS</author>
    <author>ECOMAS16</author>
    <author>CIMADE3</author>
  </authors>
  <commentList>
    <comment ref="F11" authorId="0" shapeId="0" xr:uid="{0961BD88-889B-47B7-A885-DE4B7914298D}">
      <text>
        <r>
          <rPr>
            <b/>
            <sz val="9"/>
            <color indexed="81"/>
            <rFont val="Tahoma"/>
            <family val="2"/>
          </rPr>
          <t xml:space="preserve">199.99
</t>
        </r>
      </text>
    </comment>
    <comment ref="G11" authorId="0" shapeId="0" xr:uid="{369362F2-BD1F-47FF-98A8-0DA5B0356AC8}">
      <text>
        <r>
          <rPr>
            <b/>
            <sz val="9"/>
            <color indexed="81"/>
            <rFont val="Tahoma"/>
            <family val="2"/>
          </rPr>
          <t>199.99</t>
        </r>
      </text>
    </comment>
    <comment ref="H11" authorId="0" shapeId="0" xr:uid="{C6279F9A-85E4-4DBC-837F-9BB0660353FC}">
      <text>
        <r>
          <rPr>
            <b/>
            <sz val="9"/>
            <color indexed="81"/>
            <rFont val="Tahoma"/>
            <family val="2"/>
          </rPr>
          <t>199.99</t>
        </r>
      </text>
    </comment>
    <comment ref="I11" authorId="0" shapeId="0" xr:uid="{77911236-9183-4536-9295-A853E4719CC0}">
      <text>
        <r>
          <rPr>
            <b/>
            <sz val="9"/>
            <color indexed="81"/>
            <rFont val="Tahoma"/>
            <family val="2"/>
          </rPr>
          <t>199.99</t>
        </r>
      </text>
    </comment>
    <comment ref="J11" authorId="0" shapeId="0" xr:uid="{7FA78630-AC52-490E-8E74-3A3FF56399EF}">
      <text>
        <r>
          <rPr>
            <b/>
            <sz val="9"/>
            <color indexed="81"/>
            <rFont val="Tahoma"/>
            <family val="2"/>
          </rPr>
          <t>199.99</t>
        </r>
      </text>
    </comment>
    <comment ref="T11" authorId="0" shapeId="0" xr:uid="{B9E72205-CAFD-4BC8-A12A-4A52D0FAEB5C}">
      <text>
        <r>
          <rPr>
            <b/>
            <sz val="9"/>
            <color indexed="81"/>
            <rFont val="Tahoma"/>
            <family val="2"/>
          </rPr>
          <t>¿Cargado al sistema de busqueda de certificados?
Si
No</t>
        </r>
      </text>
    </comment>
    <comment ref="A14" authorId="1" shapeId="0" xr:uid="{859D5E05-FDFE-45EC-A44E-726C5D4F0C64}">
      <text>
        <r>
          <rPr>
            <b/>
            <sz val="9"/>
            <color indexed="81"/>
            <rFont val="Tahoma"/>
            <family val="2"/>
          </rPr>
          <t>GANADORA DE MEDIA BECA</t>
        </r>
      </text>
    </comment>
    <comment ref="D16" authorId="2" shapeId="0" xr:uid="{4AC0BEEA-E692-43EB-8752-20ABDCDD2562}">
      <text>
        <r>
          <rPr>
            <b/>
            <sz val="9"/>
            <color indexed="81"/>
            <rFont val="Tahoma"/>
            <family val="2"/>
          </rPr>
          <t>ECOMAS16:</t>
        </r>
        <r>
          <rPr>
            <sz val="9"/>
            <color indexed="81"/>
            <rFont val="Tahoma"/>
            <family val="2"/>
          </rPr>
          <t xml:space="preserve">
EN EL TRASCURSO DE HOY 11 DE ABRIL PAGARA</t>
        </r>
      </text>
    </comment>
    <comment ref="F17" authorId="3" shapeId="0" xr:uid="{8C1AEB19-84D9-410A-BADB-12A5BB239846}">
      <text>
        <r>
          <rPr>
            <b/>
            <sz val="9"/>
            <color indexed="81"/>
            <rFont val="Tahoma"/>
            <family val="2"/>
          </rPr>
          <t>CIMADE3:</t>
        </r>
        <r>
          <rPr>
            <sz val="9"/>
            <color indexed="81"/>
            <rFont val="Tahoma"/>
            <family val="2"/>
          </rPr>
          <t xml:space="preserve">
falta 0.99
</t>
        </r>
      </text>
    </comment>
    <comment ref="G17" authorId="3" shapeId="0" xr:uid="{D71E7439-3685-40EF-97B8-4D409C9FBE3A}">
      <text>
        <r>
          <rPr>
            <b/>
            <sz val="9"/>
            <color indexed="81"/>
            <rFont val="Tahoma"/>
            <family val="2"/>
          </rPr>
          <t>CIMADE3:</t>
        </r>
        <r>
          <rPr>
            <sz val="9"/>
            <color indexed="81"/>
            <rFont val="Tahoma"/>
            <family val="2"/>
          </rPr>
          <t xml:space="preserve">
falta 0.99</t>
        </r>
      </text>
    </comment>
    <comment ref="D18" authorId="2" shapeId="0" xr:uid="{FDB20404-924F-4A5D-9BEC-9A22C5A169F1}">
      <text>
        <r>
          <rPr>
            <b/>
            <sz val="9"/>
            <color indexed="81"/>
            <rFont val="Tahoma"/>
            <family val="2"/>
          </rPr>
          <t>ECOMAS16:</t>
        </r>
        <r>
          <rPr>
            <sz val="9"/>
            <color indexed="81"/>
            <rFont val="Tahoma"/>
            <family val="2"/>
          </rPr>
          <t xml:space="preserve">
MAS TARDE PAGARA</t>
        </r>
      </text>
    </comment>
    <comment ref="D19" authorId="2" shapeId="0" xr:uid="{3FDC3AD6-7425-4315-AE05-68D54F8B45FD}">
      <text>
        <r>
          <rPr>
            <b/>
            <sz val="9"/>
            <color indexed="81"/>
            <rFont val="Tahoma"/>
            <family val="2"/>
          </rPr>
          <t>15 DE ABRIL PAGARA LA SEGUNDA CUOTA SE LE DIO PLAZO HASTA ESA FECHA</t>
        </r>
      </text>
    </comment>
  </commentList>
</comments>
</file>

<file path=xl/sharedStrings.xml><?xml version="1.0" encoding="utf-8"?>
<sst xmlns="http://schemas.openxmlformats.org/spreadsheetml/2006/main" count="66" uniqueCount="65">
  <si>
    <t>Inicio:</t>
  </si>
  <si>
    <t>Finalización:</t>
  </si>
  <si>
    <t>Módulos:</t>
  </si>
  <si>
    <t>Resolución:</t>
  </si>
  <si>
    <t>26 Créditos</t>
  </si>
  <si>
    <t>Créditos/horas:</t>
  </si>
  <si>
    <t>Instituciones:</t>
  </si>
  <si>
    <t>Actividad académica:</t>
  </si>
  <si>
    <t>Nombres y Apellidos</t>
  </si>
  <si>
    <t>DNI</t>
  </si>
  <si>
    <t>Correo</t>
  </si>
  <si>
    <t>Celular</t>
  </si>
  <si>
    <t>Direccion</t>
  </si>
  <si>
    <t>1ra cuota</t>
  </si>
  <si>
    <t>Certificación</t>
  </si>
  <si>
    <t>2da cuota</t>
  </si>
  <si>
    <t>3ra cuota</t>
  </si>
  <si>
    <t>4ta cuota</t>
  </si>
  <si>
    <t>Total</t>
  </si>
  <si>
    <t>Nota</t>
  </si>
  <si>
    <t>parcial</t>
  </si>
  <si>
    <t>Promedio</t>
  </si>
  <si>
    <t>Código</t>
  </si>
  <si>
    <t>Participación</t>
  </si>
  <si>
    <t>Código del evento:</t>
  </si>
  <si>
    <t>Condición</t>
  </si>
  <si>
    <t>final</t>
  </si>
  <si>
    <t>Grupo de WhatsApp</t>
  </si>
  <si>
    <t>Estado</t>
  </si>
  <si>
    <t>Seguridad, Salud Ocupacional y Medio Ambiente</t>
  </si>
  <si>
    <t xml:space="preserve">03 de marzo </t>
  </si>
  <si>
    <t>07 de julio</t>
  </si>
  <si>
    <t>•Legislación en seguridad y salud en el trabajo
•Investigación y reporte de accidentes laborales
•Prevención de riesgos laborales
•Fiscalización y auditorias de SSO - SUNAFIL
•Fiscalización ambiental
•Supervisor SSOMA
•Auditor Interno SSOMA
•Gestión ambiental - ISO 14001
•Implementación de sistema de gestión de SST
•Elaboración de matriz IPERC - mapa de riesgos
•Comité de seguridad y salud en el trabajo
•Primeros auxilios y formación de brigadas de emergencia
•Seguridad en trabajo de alto riesgo</t>
  </si>
  <si>
    <t>Resolución Directoral N° 079-2023 EPG-UNP</t>
  </si>
  <si>
    <t>EPG-UNP - ECOMÁS</t>
  </si>
  <si>
    <t>https://chat.whatsapp.com/IqyuHPS6KYa8Tc9La2C4ea</t>
  </si>
  <si>
    <t>Silver Veliz Granados</t>
  </si>
  <si>
    <r>
      <t xml:space="preserve">Kenly Danitza Chavez Lopez </t>
    </r>
    <r>
      <rPr>
        <b/>
        <i/>
        <sz val="11"/>
        <color rgb="FFFF0000"/>
        <rFont val="Calibri"/>
        <family val="2"/>
        <scheme val="minor"/>
      </rPr>
      <t>(media beca)</t>
    </r>
  </si>
  <si>
    <t>Nayca Rosa Alvarado Jimenez</t>
  </si>
  <si>
    <t>Melissa Lizety Valiente Pozo</t>
  </si>
  <si>
    <t>Roberto Gonzales Melo</t>
  </si>
  <si>
    <t>Luz Linda Bueno Cerna</t>
  </si>
  <si>
    <t xml:space="preserve">Damariz Noemi Bautista Rivas </t>
  </si>
  <si>
    <t>silverveliz@hotmail.com</t>
  </si>
  <si>
    <t>kchavezlop@ucvvirtual.edu.pe</t>
  </si>
  <si>
    <t>rosanayca@gmail.com</t>
  </si>
  <si>
    <t>melissa_1213@hotmail.com</t>
  </si>
  <si>
    <t>rgonzales@tpp.com.pe</t>
  </si>
  <si>
    <t>lindabueno378@gmail.com</t>
  </si>
  <si>
    <t>Bautistadamariz953@gmail.com</t>
  </si>
  <si>
    <t>943 946 447</t>
  </si>
  <si>
    <t>961 306 380</t>
  </si>
  <si>
    <t>915 169 316</t>
  </si>
  <si>
    <t>969 201 427</t>
  </si>
  <si>
    <t>994 241 299</t>
  </si>
  <si>
    <t>916 023 351</t>
  </si>
  <si>
    <t>937 124 719</t>
  </si>
  <si>
    <t>Carretera central 650 -San Agustin -Huancayo Junin</t>
  </si>
  <si>
    <t>A.H MARCO JARA 2da Etapa Mz O Lt 2 - Paita-Paita-Piura</t>
  </si>
  <si>
    <t>Jr. Jorge Chávez 1223 -Breña -Lima-Lima</t>
  </si>
  <si>
    <t>Urb. Residencial Asís, Edif Bavaria Dpto. 103 block A -Sachaca-Arequipa-Arequipa</t>
  </si>
  <si>
    <t>Jr. Chachapoyas 502 Mz B Lt4 Urb.Humay - Callao- Callao-Callao</t>
  </si>
  <si>
    <t>Caserio Colpa Jerusalén-Pueblo Nuevo-Leoncio Prado-Huanuco</t>
  </si>
  <si>
    <t>Urb. Casuarinas P1- Lt 35-Nuevo Chimbote-Santa-Ancash</t>
  </si>
  <si>
    <t>CODIFICACIÓN C. MODULAR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</si>
</sst>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1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indexed="64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theme="2" tint="-0.249977111117893"/>
      </right>
      <top style="thin">
        <color indexed="64"/>
      </top>
      <bottom style="thin">
        <color theme="2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9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9" tint="-0.24997711111789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4" borderId="6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/>
    <xf numFmtId="0" fontId="2" fillId="3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wrapText="1"/>
    </xf>
    <xf numFmtId="0" fontId="1" fillId="4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wrapText="1"/>
    </xf>
    <xf numFmtId="16" fontId="1" fillId="5" borderId="0" xfId="0" applyNumberFormat="1" applyFont="1" applyFill="1" applyAlignment="1">
      <alignment horizontal="center"/>
    </xf>
    <xf numFmtId="0" fontId="0" fillId="2" borderId="0" xfId="0" applyFill="1"/>
    <xf numFmtId="0" fontId="4" fillId="0" borderId="10" xfId="0" applyFont="1" applyBorder="1"/>
    <xf numFmtId="0" fontId="0" fillId="4" borderId="0" xfId="0" applyFill="1" applyAlignment="1">
      <alignment horizontal="center"/>
    </xf>
    <xf numFmtId="0" fontId="5" fillId="0" borderId="0" xfId="1"/>
    <xf numFmtId="0" fontId="7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0" fillId="0" borderId="2" xfId="0" applyBorder="1"/>
    <xf numFmtId="0" fontId="0" fillId="8" borderId="0" xfId="0" applyFill="1"/>
    <xf numFmtId="0" fontId="0" fillId="9" borderId="0" xfId="0" applyFill="1" applyAlignment="1">
      <alignment horizontal="center"/>
    </xf>
    <xf numFmtId="0" fontId="7" fillId="10" borderId="0" xfId="0" applyFont="1" applyFill="1" applyAlignment="1">
      <alignment horizontal="center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2" xfId="0" applyBorder="1" applyAlignment="1">
      <alignment horizontal="left" wrapText="1"/>
    </xf>
    <xf numFmtId="49" fontId="10" fillId="7" borderId="11" xfId="0" applyNumberFormat="1" applyFont="1" applyFill="1" applyBorder="1" applyAlignment="1">
      <alignment horizontal="center" vertical="center" wrapText="1"/>
    </xf>
    <xf numFmtId="49" fontId="10" fillId="7" borderId="12" xfId="0" applyNumberFormat="1" applyFont="1" applyFill="1" applyBorder="1" applyAlignment="1">
      <alignment horizontal="center" vertical="center" wrapText="1"/>
    </xf>
    <xf numFmtId="49" fontId="10" fillId="7" borderId="13" xfId="0" applyNumberFormat="1" applyFont="1" applyFill="1" applyBorder="1" applyAlignment="1">
      <alignment horizontal="center" vertical="center" wrapText="1"/>
    </xf>
    <xf numFmtId="49" fontId="10" fillId="7" borderId="14" xfId="0" applyNumberFormat="1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5" fillId="0" borderId="0" xfId="1" applyAlignment="1">
      <alignment horizontal="left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2">
    <cellStyle name="Hipervínculo" xfId="1" builtinId="8"/>
    <cellStyle name="Normal" xfId="0" builtinId="0"/>
  </cellStyles>
  <dxfs count="7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9</xdr:row>
          <xdr:rowOff>9525</xdr:rowOff>
        </xdr:from>
        <xdr:to>
          <xdr:col>10</xdr:col>
          <xdr:colOff>714375</xdr:colOff>
          <xdr:row>9</xdr:row>
          <xdr:rowOff>304800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Bautistadamariz953@gmail.com" TargetMode="External"/><Relationship Id="rId13" Type="http://schemas.openxmlformats.org/officeDocument/2006/relationships/comments" Target="../comments1.xml"/><Relationship Id="rId3" Type="http://schemas.openxmlformats.org/officeDocument/2006/relationships/hyperlink" Target="mailto:rgonzales@tpp.com.pe" TargetMode="External"/><Relationship Id="rId7" Type="http://schemas.openxmlformats.org/officeDocument/2006/relationships/hyperlink" Target="mailto:melissa_1213@hotmail.com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mailto:silverveliz@hotmail.com" TargetMode="External"/><Relationship Id="rId1" Type="http://schemas.openxmlformats.org/officeDocument/2006/relationships/hyperlink" Target="https://chat.whatsapp.com/IqyuHPS6KYa8Tc9La2C4ea" TargetMode="External"/><Relationship Id="rId6" Type="http://schemas.openxmlformats.org/officeDocument/2006/relationships/hyperlink" Target="mailto:rosanayca@gmail.co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kchavezlop@ucvvirtual.edu.pe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mailto:lindabueno378@gmail.com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AAC5E-DDB5-47C2-A977-11B174923231}">
  <sheetPr codeName="Hoja1"/>
  <dimension ref="A1:W63"/>
  <sheetViews>
    <sheetView tabSelected="1" workbookViewId="0">
      <pane xSplit="1" topLeftCell="B1" activePane="topRight" state="frozen"/>
      <selection activeCell="A4" sqref="A4"/>
      <selection pane="topRight" activeCell="T13" sqref="T13"/>
    </sheetView>
  </sheetViews>
  <sheetFormatPr baseColWidth="10" defaultRowHeight="15" x14ac:dyDescent="0.25"/>
  <cols>
    <col min="1" max="1" width="28.5703125" bestFit="1" customWidth="1"/>
    <col min="2" max="2" width="15" customWidth="1"/>
    <col min="3" max="3" width="38.140625" customWidth="1"/>
    <col min="5" max="5" width="47.5703125" bestFit="1" customWidth="1"/>
    <col min="10" max="10" width="12" customWidth="1"/>
    <col min="12" max="13" width="8.5703125" style="7" customWidth="1"/>
    <col min="14" max="14" width="10.85546875" style="7" customWidth="1"/>
    <col min="15" max="15" width="12" customWidth="1"/>
    <col min="16" max="16" width="12.5703125" customWidth="1"/>
    <col min="18" max="18" width="12.7109375" customWidth="1"/>
  </cols>
  <sheetData>
    <row r="1" spans="1:23" x14ac:dyDescent="0.25">
      <c r="A1" s="5" t="s">
        <v>7</v>
      </c>
      <c r="B1" s="32" t="s">
        <v>29</v>
      </c>
      <c r="C1" s="32"/>
    </row>
    <row r="2" spans="1:23" x14ac:dyDescent="0.25">
      <c r="A2" s="4" t="s">
        <v>0</v>
      </c>
      <c r="B2" s="33" t="s">
        <v>30</v>
      </c>
      <c r="C2" s="32"/>
    </row>
    <row r="3" spans="1:23" x14ac:dyDescent="0.25">
      <c r="A3" s="4" t="s">
        <v>1</v>
      </c>
      <c r="B3" s="33" t="s">
        <v>31</v>
      </c>
      <c r="C3" s="32"/>
    </row>
    <row r="4" spans="1:23" x14ac:dyDescent="0.25">
      <c r="A4" s="3" t="s">
        <v>2</v>
      </c>
      <c r="B4" s="34" t="s">
        <v>32</v>
      </c>
      <c r="C4" s="32"/>
    </row>
    <row r="5" spans="1:23" x14ac:dyDescent="0.25">
      <c r="A5" s="4" t="s">
        <v>3</v>
      </c>
      <c r="B5" s="32" t="s">
        <v>33</v>
      </c>
      <c r="C5" s="32"/>
    </row>
    <row r="6" spans="1:23" x14ac:dyDescent="0.25">
      <c r="A6" s="2" t="s">
        <v>5</v>
      </c>
      <c r="B6" s="31" t="s">
        <v>4</v>
      </c>
      <c r="C6" s="32"/>
    </row>
    <row r="7" spans="1:23" ht="30.75" customHeight="1" x14ac:dyDescent="0.25">
      <c r="A7" s="9" t="s">
        <v>6</v>
      </c>
      <c r="B7" s="41" t="s">
        <v>34</v>
      </c>
      <c r="C7" s="42"/>
    </row>
    <row r="8" spans="1:23" x14ac:dyDescent="0.25">
      <c r="A8" s="10" t="s">
        <v>24</v>
      </c>
      <c r="B8" s="31">
        <v>2024467</v>
      </c>
      <c r="C8" s="32"/>
    </row>
    <row r="9" spans="1:23" x14ac:dyDescent="0.25">
      <c r="A9" s="21" t="s">
        <v>27</v>
      </c>
      <c r="B9" s="40" t="s">
        <v>35</v>
      </c>
      <c r="C9" s="32"/>
      <c r="D9" s="32"/>
    </row>
    <row r="10" spans="1:23" ht="27" customHeight="1" x14ac:dyDescent="0.45">
      <c r="A10" s="39" t="str">
        <f>B1</f>
        <v>Seguridad, Salud Ocupacional y Medio Ambiente</v>
      </c>
      <c r="B10" s="39"/>
      <c r="C10" s="39"/>
      <c r="D10" s="39"/>
      <c r="E10" s="39"/>
      <c r="F10" s="22"/>
      <c r="G10" s="22"/>
      <c r="H10" s="22"/>
      <c r="I10" s="22"/>
      <c r="J10" s="22"/>
    </row>
    <row r="11" spans="1:23" ht="48" customHeight="1" x14ac:dyDescent="0.25">
      <c r="A11" s="11" t="s">
        <v>8</v>
      </c>
      <c r="B11" s="11" t="s">
        <v>9</v>
      </c>
      <c r="C11" s="11" t="s">
        <v>10</v>
      </c>
      <c r="D11" s="11" t="s">
        <v>11</v>
      </c>
      <c r="E11" s="11" t="s">
        <v>12</v>
      </c>
      <c r="F11" s="6" t="s">
        <v>13</v>
      </c>
      <c r="G11" s="6" t="s">
        <v>15</v>
      </c>
      <c r="H11" s="6" t="s">
        <v>16</v>
      </c>
      <c r="I11" s="6" t="s">
        <v>17</v>
      </c>
      <c r="J11" s="6" t="s">
        <v>14</v>
      </c>
      <c r="K11" s="6"/>
      <c r="L11" s="12" t="s">
        <v>19</v>
      </c>
      <c r="M11" s="13" t="s">
        <v>19</v>
      </c>
      <c r="N11" s="12" t="s">
        <v>21</v>
      </c>
      <c r="O11" s="6" t="s">
        <v>22</v>
      </c>
      <c r="P11" s="6" t="s">
        <v>23</v>
      </c>
      <c r="R11" s="14" t="s">
        <v>25</v>
      </c>
      <c r="T11" s="23" t="s">
        <v>28</v>
      </c>
      <c r="V11" s="35" t="s">
        <v>64</v>
      </c>
      <c r="W11" s="36"/>
    </row>
    <row r="12" spans="1:23" ht="15" customHeight="1" x14ac:dyDescent="0.25">
      <c r="A12" s="16"/>
      <c r="B12" s="16"/>
      <c r="C12" s="16"/>
      <c r="D12" s="16"/>
      <c r="E12" s="16"/>
      <c r="F12" s="20">
        <v>45361</v>
      </c>
      <c r="G12" s="20">
        <v>45392</v>
      </c>
      <c r="H12" s="20">
        <v>45422</v>
      </c>
      <c r="I12" s="20">
        <v>45453</v>
      </c>
      <c r="J12" s="20">
        <v>45481</v>
      </c>
      <c r="K12" s="17" t="s">
        <v>18</v>
      </c>
      <c r="L12" s="18" t="s">
        <v>20</v>
      </c>
      <c r="M12" s="19" t="s">
        <v>26</v>
      </c>
      <c r="N12" s="18"/>
      <c r="O12" s="17"/>
      <c r="P12" s="17"/>
      <c r="R12" s="15"/>
      <c r="V12" s="37"/>
      <c r="W12" s="38"/>
    </row>
    <row r="13" spans="1:23" ht="15" customHeight="1" x14ac:dyDescent="0.25">
      <c r="A13" t="s">
        <v>36</v>
      </c>
      <c r="B13" s="1">
        <v>41676092</v>
      </c>
      <c r="C13" s="24" t="s">
        <v>43</v>
      </c>
      <c r="D13" s="25" t="s">
        <v>50</v>
      </c>
      <c r="E13" t="s">
        <v>57</v>
      </c>
      <c r="F13" s="1">
        <v>199.99</v>
      </c>
      <c r="G13" s="1">
        <v>199.99</v>
      </c>
      <c r="H13" s="1"/>
      <c r="I13" s="1"/>
      <c r="J13" s="1"/>
      <c r="K13" s="1">
        <f t="shared" ref="K13:K19" si="0">SUM(F13:J13)</f>
        <v>399.98</v>
      </c>
      <c r="L13" s="8">
        <v>16</v>
      </c>
      <c r="M13" s="8">
        <v>17</v>
      </c>
      <c r="N13" s="8">
        <f>IFERROR(ROUND(AVERAGE(L13,M13), 0), "")</f>
        <v>17</v>
      </c>
      <c r="O13" s="27">
        <v>202446701</v>
      </c>
      <c r="R13" s="15" t="str">
        <f>IF(K13&gt;539,"Aprobado","No aprobado")</f>
        <v>No aprobado</v>
      </c>
      <c r="V13" s="28">
        <v>202446801</v>
      </c>
      <c r="W13" s="28">
        <v>202448001</v>
      </c>
    </row>
    <row r="14" spans="1:23" x14ac:dyDescent="0.25">
      <c r="A14" t="s">
        <v>37</v>
      </c>
      <c r="B14" s="1">
        <v>74956279</v>
      </c>
      <c r="C14" s="24" t="s">
        <v>44</v>
      </c>
      <c r="D14" s="25" t="s">
        <v>51</v>
      </c>
      <c r="E14" t="s">
        <v>58</v>
      </c>
      <c r="F14" s="29">
        <v>100</v>
      </c>
      <c r="G14" s="29">
        <v>100</v>
      </c>
      <c r="H14" s="1"/>
      <c r="I14" s="1"/>
      <c r="J14" s="1"/>
      <c r="K14" s="1">
        <f t="shared" si="0"/>
        <v>200</v>
      </c>
      <c r="L14" s="8"/>
      <c r="M14" s="8"/>
      <c r="N14" s="8"/>
      <c r="O14" s="27">
        <v>202446702</v>
      </c>
      <c r="P14" s="1"/>
      <c r="R14" s="15"/>
      <c r="V14" s="28">
        <v>202446802</v>
      </c>
      <c r="W14" s="28">
        <v>202448002</v>
      </c>
    </row>
    <row r="15" spans="1:23" x14ac:dyDescent="0.25">
      <c r="A15" t="s">
        <v>38</v>
      </c>
      <c r="B15" s="1">
        <v>75653585</v>
      </c>
      <c r="C15" s="24" t="s">
        <v>45</v>
      </c>
      <c r="D15" s="25" t="s">
        <v>52</v>
      </c>
      <c r="E15" t="s">
        <v>59</v>
      </c>
      <c r="F15" s="1">
        <v>200</v>
      </c>
      <c r="G15" s="1">
        <v>200</v>
      </c>
      <c r="H15" s="1"/>
      <c r="I15" s="1"/>
      <c r="J15" s="1"/>
      <c r="K15" s="1">
        <f t="shared" si="0"/>
        <v>400</v>
      </c>
      <c r="L15" s="8"/>
      <c r="M15" s="8"/>
      <c r="N15" s="8"/>
      <c r="O15" s="27">
        <v>202446703</v>
      </c>
      <c r="P15" s="1"/>
      <c r="R15" s="15"/>
      <c r="V15" s="28">
        <v>202446803</v>
      </c>
      <c r="W15" s="28">
        <v>202448003</v>
      </c>
    </row>
    <row r="16" spans="1:23" x14ac:dyDescent="0.25">
      <c r="A16" t="s">
        <v>39</v>
      </c>
      <c r="B16" s="1">
        <v>41481693</v>
      </c>
      <c r="C16" s="24" t="s">
        <v>46</v>
      </c>
      <c r="D16" s="30" t="s">
        <v>53</v>
      </c>
      <c r="E16" t="s">
        <v>60</v>
      </c>
      <c r="F16" s="1">
        <v>199.99</v>
      </c>
      <c r="G16" s="1">
        <v>199.99</v>
      </c>
      <c r="H16" s="1"/>
      <c r="I16" s="1"/>
      <c r="J16" s="1"/>
      <c r="K16" s="1">
        <f t="shared" si="0"/>
        <v>399.98</v>
      </c>
      <c r="L16" s="8"/>
      <c r="M16" s="8"/>
      <c r="N16" s="8"/>
      <c r="O16" s="27">
        <v>202446704</v>
      </c>
      <c r="P16" s="1"/>
      <c r="R16" s="15"/>
      <c r="V16" s="28">
        <v>202446804</v>
      </c>
      <c r="W16" s="28">
        <v>202448004</v>
      </c>
    </row>
    <row r="17" spans="1:23" x14ac:dyDescent="0.25">
      <c r="A17" t="s">
        <v>40</v>
      </c>
      <c r="B17" s="1">
        <v>25503361</v>
      </c>
      <c r="C17" s="24" t="s">
        <v>47</v>
      </c>
      <c r="D17" s="1" t="s">
        <v>54</v>
      </c>
      <c r="E17" t="s">
        <v>61</v>
      </c>
      <c r="F17" s="1">
        <v>199</v>
      </c>
      <c r="G17" s="1">
        <v>199</v>
      </c>
      <c r="H17" s="1"/>
      <c r="I17" s="1"/>
      <c r="J17" s="1"/>
      <c r="K17" s="1">
        <f t="shared" si="0"/>
        <v>398</v>
      </c>
      <c r="L17" s="8"/>
      <c r="M17" s="8"/>
      <c r="N17" s="8"/>
      <c r="O17" s="27">
        <v>202446705</v>
      </c>
      <c r="P17" s="1"/>
      <c r="R17" s="15"/>
      <c r="V17" s="28">
        <v>202446805</v>
      </c>
      <c r="W17" s="28">
        <v>202448005</v>
      </c>
    </row>
    <row r="18" spans="1:23" x14ac:dyDescent="0.25">
      <c r="A18" t="s">
        <v>41</v>
      </c>
      <c r="B18" s="1">
        <v>74043796</v>
      </c>
      <c r="C18" s="24" t="s">
        <v>48</v>
      </c>
      <c r="D18" s="1" t="s">
        <v>55</v>
      </c>
      <c r="E18" t="s">
        <v>62</v>
      </c>
      <c r="F18" s="1">
        <v>200</v>
      </c>
      <c r="G18" s="1">
        <v>200</v>
      </c>
      <c r="H18" s="1"/>
      <c r="I18" s="1"/>
      <c r="J18" s="1"/>
      <c r="K18" s="1">
        <f t="shared" si="0"/>
        <v>400</v>
      </c>
      <c r="L18" s="8"/>
      <c r="M18" s="8"/>
      <c r="N18" s="8"/>
      <c r="O18" s="27">
        <v>202446706</v>
      </c>
      <c r="P18" s="1"/>
      <c r="R18" s="15"/>
      <c r="V18" s="28">
        <v>202446806</v>
      </c>
      <c r="W18" s="28">
        <v>202448006</v>
      </c>
    </row>
    <row r="19" spans="1:23" ht="15.75" customHeight="1" x14ac:dyDescent="0.25">
      <c r="A19" t="s">
        <v>42</v>
      </c>
      <c r="B19" s="1">
        <v>47000605</v>
      </c>
      <c r="C19" s="24" t="s">
        <v>49</v>
      </c>
      <c r="D19" s="1" t="s">
        <v>56</v>
      </c>
      <c r="E19" t="s">
        <v>63</v>
      </c>
      <c r="F19" s="26">
        <v>199.99</v>
      </c>
      <c r="G19" s="1">
        <v>199.99</v>
      </c>
      <c r="H19" s="1"/>
      <c r="I19" s="1"/>
      <c r="J19" s="1"/>
      <c r="K19" s="1">
        <f t="shared" si="0"/>
        <v>399.98</v>
      </c>
      <c r="L19" s="8"/>
      <c r="M19" s="8"/>
      <c r="N19" s="8"/>
      <c r="O19" s="27">
        <v>202446707</v>
      </c>
      <c r="P19" s="1"/>
      <c r="R19" s="15"/>
      <c r="V19" s="28">
        <v>202446807</v>
      </c>
      <c r="W19" s="28">
        <v>202448007</v>
      </c>
    </row>
    <row r="20" spans="1:23" x14ac:dyDescent="0.25">
      <c r="F20" s="1"/>
      <c r="G20" s="1"/>
      <c r="H20" s="1"/>
      <c r="I20" s="1"/>
      <c r="J20" s="1"/>
      <c r="K20" s="1"/>
      <c r="L20" s="8"/>
      <c r="M20" s="8"/>
      <c r="N20" s="8"/>
      <c r="O20" s="1"/>
      <c r="P20" s="1"/>
      <c r="R20" s="15"/>
    </row>
    <row r="21" spans="1:23" x14ac:dyDescent="0.25">
      <c r="F21" s="1"/>
      <c r="G21" s="1"/>
      <c r="H21" s="1"/>
      <c r="I21" s="1"/>
      <c r="J21" s="1"/>
      <c r="K21" s="1"/>
      <c r="L21" s="8"/>
      <c r="M21" s="8"/>
      <c r="N21" s="8"/>
      <c r="O21" s="1"/>
      <c r="P21" s="1"/>
      <c r="R21" s="15"/>
    </row>
    <row r="22" spans="1:23" x14ac:dyDescent="0.25">
      <c r="F22" s="1"/>
      <c r="G22" s="1"/>
      <c r="H22" s="1"/>
      <c r="I22" s="1"/>
      <c r="J22" s="1"/>
      <c r="K22" s="1"/>
      <c r="L22" s="8"/>
      <c r="M22" s="8"/>
      <c r="N22" s="8"/>
      <c r="O22" s="1"/>
      <c r="P22" s="1"/>
      <c r="R22" s="15"/>
    </row>
    <row r="23" spans="1:23" x14ac:dyDescent="0.25">
      <c r="F23" s="1"/>
      <c r="G23" s="1"/>
      <c r="H23" s="1"/>
      <c r="I23" s="1"/>
      <c r="J23" s="1"/>
      <c r="K23" s="1"/>
      <c r="L23" s="8"/>
      <c r="M23" s="8"/>
      <c r="N23" s="8"/>
      <c r="O23" s="1"/>
      <c r="P23" s="1"/>
      <c r="R23" s="15"/>
    </row>
    <row r="24" spans="1:23" x14ac:dyDescent="0.25">
      <c r="F24" s="1"/>
      <c r="G24" s="1"/>
      <c r="H24" s="1"/>
      <c r="I24" s="1"/>
      <c r="J24" s="1"/>
      <c r="K24" s="1"/>
      <c r="L24" s="8"/>
      <c r="M24" s="8"/>
      <c r="N24" s="8"/>
      <c r="O24" s="1"/>
      <c r="P24" s="1"/>
      <c r="R24" s="15"/>
    </row>
    <row r="25" spans="1:23" x14ac:dyDescent="0.25">
      <c r="F25" s="1"/>
      <c r="G25" s="1"/>
      <c r="H25" s="1"/>
      <c r="I25" s="1"/>
      <c r="J25" s="1"/>
      <c r="K25" s="1"/>
      <c r="L25" s="8"/>
      <c r="M25" s="8"/>
      <c r="N25" s="8"/>
      <c r="O25" s="1"/>
      <c r="P25" s="1"/>
      <c r="R25" s="15"/>
    </row>
    <row r="26" spans="1:23" x14ac:dyDescent="0.25">
      <c r="F26" s="1"/>
      <c r="G26" s="1"/>
      <c r="H26" s="1"/>
      <c r="I26" s="1"/>
      <c r="J26" s="1"/>
      <c r="K26" s="1"/>
      <c r="L26" s="8"/>
      <c r="M26" s="8"/>
      <c r="N26" s="8"/>
      <c r="O26" s="1"/>
      <c r="P26" s="1"/>
      <c r="R26" s="15"/>
    </row>
    <row r="27" spans="1:23" x14ac:dyDescent="0.25">
      <c r="F27" s="1"/>
      <c r="G27" s="1"/>
      <c r="H27" s="1"/>
      <c r="I27" s="1"/>
      <c r="J27" s="1"/>
      <c r="K27" s="1"/>
      <c r="L27" s="8"/>
      <c r="M27" s="8"/>
      <c r="N27" s="8"/>
      <c r="O27" s="1"/>
      <c r="P27" s="1"/>
      <c r="R27" s="15"/>
    </row>
    <row r="28" spans="1:23" x14ac:dyDescent="0.25">
      <c r="F28" s="1"/>
      <c r="G28" s="1"/>
      <c r="H28" s="1"/>
      <c r="I28" s="1"/>
      <c r="J28" s="1"/>
      <c r="K28" s="1"/>
      <c r="L28" s="8"/>
      <c r="M28" s="8"/>
      <c r="N28" s="8"/>
      <c r="O28" s="1"/>
      <c r="P28" s="1"/>
      <c r="R28" s="15"/>
    </row>
    <row r="29" spans="1:23" x14ac:dyDescent="0.25">
      <c r="F29" s="1"/>
      <c r="G29" s="1"/>
      <c r="H29" s="1"/>
      <c r="I29" s="1"/>
      <c r="J29" s="1"/>
      <c r="K29" s="1"/>
      <c r="L29" s="8"/>
      <c r="M29" s="8"/>
      <c r="N29" s="8"/>
      <c r="O29" s="1"/>
      <c r="P29" s="1"/>
      <c r="R29" s="15"/>
    </row>
    <row r="30" spans="1:23" x14ac:dyDescent="0.25">
      <c r="F30" s="1"/>
      <c r="G30" s="1"/>
      <c r="H30" s="1"/>
      <c r="I30" s="1"/>
      <c r="J30" s="1"/>
      <c r="K30" s="1"/>
      <c r="L30" s="8"/>
      <c r="M30" s="8"/>
      <c r="N30" s="8"/>
      <c r="O30" s="1"/>
      <c r="P30" s="1"/>
      <c r="R30" s="15"/>
    </row>
    <row r="31" spans="1:23" x14ac:dyDescent="0.25">
      <c r="F31" s="1"/>
      <c r="G31" s="1"/>
      <c r="H31" s="1"/>
      <c r="I31" s="1"/>
      <c r="J31" s="1"/>
      <c r="K31" s="1"/>
      <c r="L31" s="8"/>
      <c r="M31" s="8"/>
      <c r="N31" s="8"/>
      <c r="O31" s="1"/>
      <c r="P31" s="1"/>
      <c r="R31" s="15"/>
    </row>
    <row r="32" spans="1:23" x14ac:dyDescent="0.25">
      <c r="F32" s="1"/>
      <c r="G32" s="1"/>
      <c r="H32" s="1"/>
      <c r="I32" s="1"/>
      <c r="J32" s="1"/>
      <c r="K32" s="1"/>
      <c r="L32" s="8"/>
      <c r="M32" s="8"/>
      <c r="N32" s="8"/>
      <c r="O32" s="1"/>
      <c r="P32" s="1"/>
      <c r="R32" s="15"/>
    </row>
    <row r="33" spans="6:18" x14ac:dyDescent="0.25">
      <c r="F33" s="1"/>
      <c r="G33" s="1"/>
      <c r="H33" s="1"/>
      <c r="I33" s="1"/>
      <c r="J33" s="1"/>
      <c r="K33" s="1"/>
      <c r="L33" s="8"/>
      <c r="M33" s="8"/>
      <c r="N33" s="8"/>
      <c r="O33" s="1"/>
      <c r="P33" s="1"/>
      <c r="R33" s="15"/>
    </row>
    <row r="34" spans="6:18" x14ac:dyDescent="0.25">
      <c r="F34" s="1"/>
      <c r="G34" s="1"/>
      <c r="H34" s="1"/>
      <c r="I34" s="1"/>
      <c r="J34" s="1"/>
      <c r="K34" s="1"/>
      <c r="L34" s="8"/>
      <c r="M34" s="8"/>
      <c r="N34" s="8"/>
      <c r="O34" s="1"/>
      <c r="P34" s="1"/>
      <c r="R34" s="15"/>
    </row>
    <row r="35" spans="6:18" x14ac:dyDescent="0.25">
      <c r="F35" s="1"/>
      <c r="G35" s="1"/>
      <c r="H35" s="1"/>
      <c r="I35" s="1"/>
      <c r="J35" s="1"/>
      <c r="K35" s="1"/>
      <c r="L35" s="8"/>
      <c r="M35" s="8"/>
      <c r="N35" s="8"/>
      <c r="O35" s="1"/>
      <c r="P35" s="1"/>
      <c r="R35" s="15"/>
    </row>
    <row r="36" spans="6:18" x14ac:dyDescent="0.25">
      <c r="F36" s="1"/>
      <c r="G36" s="1"/>
      <c r="H36" s="1"/>
      <c r="I36" s="1"/>
      <c r="J36" s="1"/>
      <c r="K36" s="1"/>
      <c r="L36" s="8"/>
      <c r="M36" s="8"/>
      <c r="N36" s="8"/>
      <c r="O36" s="1"/>
      <c r="P36" s="1"/>
      <c r="R36" s="15"/>
    </row>
    <row r="37" spans="6:18" x14ac:dyDescent="0.25">
      <c r="F37" s="1"/>
      <c r="G37" s="1"/>
      <c r="H37" s="1"/>
      <c r="I37" s="1"/>
      <c r="J37" s="1"/>
      <c r="K37" s="1"/>
      <c r="L37" s="8"/>
      <c r="M37" s="8"/>
      <c r="N37" s="8"/>
      <c r="O37" s="1"/>
      <c r="P37" s="1"/>
      <c r="R37" s="15"/>
    </row>
    <row r="38" spans="6:18" x14ac:dyDescent="0.25">
      <c r="F38" s="1"/>
      <c r="G38" s="1"/>
      <c r="H38" s="1"/>
      <c r="I38" s="1"/>
      <c r="J38" s="1"/>
      <c r="K38" s="1"/>
      <c r="L38" s="8"/>
      <c r="M38" s="8"/>
      <c r="N38" s="8"/>
      <c r="O38" s="1"/>
      <c r="P38" s="1"/>
      <c r="R38" s="15"/>
    </row>
    <row r="39" spans="6:18" x14ac:dyDescent="0.25">
      <c r="F39" s="1"/>
      <c r="G39" s="1"/>
      <c r="H39" s="1"/>
      <c r="I39" s="1"/>
      <c r="J39" s="1"/>
      <c r="K39" s="1"/>
      <c r="L39" s="8"/>
      <c r="M39" s="8"/>
      <c r="N39" s="8"/>
      <c r="O39" s="1"/>
      <c r="P39" s="1"/>
      <c r="R39" s="15"/>
    </row>
    <row r="40" spans="6:18" x14ac:dyDescent="0.25">
      <c r="F40" s="1"/>
      <c r="G40" s="1"/>
      <c r="H40" s="1"/>
      <c r="I40" s="1"/>
      <c r="J40" s="1"/>
      <c r="K40" s="1"/>
      <c r="L40" s="8"/>
      <c r="M40" s="8"/>
      <c r="N40" s="8"/>
      <c r="O40" s="1"/>
      <c r="P40" s="1"/>
      <c r="R40" s="15"/>
    </row>
    <row r="41" spans="6:18" x14ac:dyDescent="0.25">
      <c r="F41" s="1"/>
      <c r="G41" s="1"/>
      <c r="H41" s="1"/>
      <c r="I41" s="1"/>
      <c r="J41" s="1"/>
      <c r="K41" s="1"/>
      <c r="L41" s="8"/>
      <c r="M41" s="8"/>
      <c r="N41" s="8"/>
      <c r="O41" s="1"/>
      <c r="P41" s="1"/>
      <c r="R41" s="15"/>
    </row>
    <row r="42" spans="6:18" x14ac:dyDescent="0.25">
      <c r="F42" s="1"/>
      <c r="G42" s="1"/>
      <c r="H42" s="1"/>
      <c r="I42" s="1"/>
      <c r="J42" s="1"/>
      <c r="K42" s="1"/>
      <c r="L42" s="8"/>
      <c r="M42" s="8"/>
      <c r="N42" s="8"/>
      <c r="O42" s="1"/>
      <c r="P42" s="1"/>
      <c r="R42" s="15"/>
    </row>
    <row r="43" spans="6:18" x14ac:dyDescent="0.25">
      <c r="F43" s="1"/>
      <c r="G43" s="1"/>
      <c r="H43" s="1"/>
      <c r="I43" s="1"/>
      <c r="J43" s="1"/>
      <c r="K43" s="1"/>
      <c r="L43" s="8"/>
      <c r="M43" s="8"/>
      <c r="N43" s="8"/>
      <c r="O43" s="1"/>
      <c r="P43" s="1"/>
      <c r="R43" s="15"/>
    </row>
    <row r="44" spans="6:18" x14ac:dyDescent="0.25">
      <c r="F44" s="1"/>
      <c r="G44" s="1"/>
      <c r="H44" s="1"/>
      <c r="I44" s="1"/>
      <c r="J44" s="1"/>
      <c r="K44" s="1"/>
      <c r="L44" s="8"/>
      <c r="M44" s="8"/>
      <c r="N44" s="8"/>
      <c r="O44" s="1"/>
      <c r="P44" s="1"/>
      <c r="R44" s="15"/>
    </row>
    <row r="45" spans="6:18" x14ac:dyDescent="0.25">
      <c r="F45" s="1"/>
      <c r="G45" s="1"/>
      <c r="H45" s="1"/>
      <c r="I45" s="1"/>
      <c r="J45" s="1"/>
      <c r="K45" s="1"/>
      <c r="L45" s="8"/>
      <c r="M45" s="8"/>
      <c r="N45" s="8"/>
      <c r="O45" s="1"/>
      <c r="P45" s="1"/>
      <c r="R45" s="15"/>
    </row>
    <row r="46" spans="6:18" x14ac:dyDescent="0.25">
      <c r="F46" s="1"/>
      <c r="G46" s="1"/>
      <c r="H46" s="1"/>
      <c r="I46" s="1"/>
      <c r="J46" s="1"/>
      <c r="K46" s="1"/>
      <c r="L46" s="8"/>
      <c r="M46" s="8"/>
      <c r="N46" s="8"/>
      <c r="O46" s="1"/>
      <c r="P46" s="1"/>
      <c r="R46" s="15"/>
    </row>
    <row r="47" spans="6:18" x14ac:dyDescent="0.25">
      <c r="F47" s="1"/>
      <c r="G47" s="1"/>
      <c r="H47" s="1"/>
      <c r="I47" s="1"/>
      <c r="J47" s="1"/>
      <c r="K47" s="1"/>
      <c r="L47" s="8"/>
      <c r="M47" s="8"/>
      <c r="N47" s="8"/>
      <c r="O47" s="1"/>
      <c r="P47" s="1"/>
      <c r="R47" s="15"/>
    </row>
    <row r="48" spans="6:18" x14ac:dyDescent="0.25">
      <c r="F48" s="1"/>
      <c r="G48" s="1"/>
      <c r="H48" s="1"/>
      <c r="I48" s="1"/>
      <c r="J48" s="1"/>
      <c r="K48" s="1"/>
      <c r="L48" s="8"/>
      <c r="M48" s="8"/>
      <c r="N48" s="8"/>
      <c r="O48" s="1"/>
      <c r="P48" s="1"/>
      <c r="R48" s="15"/>
    </row>
    <row r="49" spans="6:18" x14ac:dyDescent="0.25">
      <c r="F49" s="1"/>
      <c r="G49" s="1"/>
      <c r="H49" s="1"/>
      <c r="I49" s="1"/>
      <c r="J49" s="1"/>
      <c r="K49" s="1"/>
      <c r="L49" s="8"/>
      <c r="M49" s="8"/>
      <c r="N49" s="8"/>
      <c r="O49" s="1"/>
      <c r="P49" s="1"/>
      <c r="R49" s="15"/>
    </row>
    <row r="50" spans="6:18" x14ac:dyDescent="0.25">
      <c r="F50" s="1"/>
      <c r="G50" s="1"/>
      <c r="H50" s="1"/>
      <c r="I50" s="1"/>
      <c r="J50" s="1"/>
      <c r="K50" s="1"/>
      <c r="L50" s="8"/>
      <c r="M50" s="8"/>
      <c r="N50" s="8"/>
      <c r="O50" s="1"/>
      <c r="P50" s="1"/>
      <c r="R50" s="15"/>
    </row>
    <row r="51" spans="6:18" x14ac:dyDescent="0.25">
      <c r="F51" s="1"/>
      <c r="G51" s="1"/>
      <c r="H51" s="1"/>
      <c r="I51" s="1"/>
      <c r="J51" s="1"/>
      <c r="K51" s="1"/>
      <c r="L51" s="8"/>
      <c r="M51" s="8"/>
      <c r="N51" s="8"/>
      <c r="O51" s="1"/>
      <c r="P51" s="1"/>
      <c r="R51" s="15"/>
    </row>
    <row r="52" spans="6:18" x14ac:dyDescent="0.25">
      <c r="F52" s="1"/>
      <c r="G52" s="1"/>
      <c r="H52" s="1"/>
      <c r="I52" s="1"/>
      <c r="J52" s="1"/>
      <c r="K52" s="1"/>
      <c r="L52" s="8"/>
      <c r="M52" s="8"/>
      <c r="N52" s="8"/>
      <c r="O52" s="1"/>
      <c r="P52" s="1"/>
      <c r="R52" s="15"/>
    </row>
    <row r="53" spans="6:18" x14ac:dyDescent="0.25">
      <c r="F53" s="1"/>
      <c r="G53" s="1"/>
      <c r="H53" s="1"/>
      <c r="I53" s="1"/>
      <c r="J53" s="1"/>
      <c r="K53" s="1"/>
      <c r="L53" s="8"/>
      <c r="M53" s="8"/>
      <c r="N53" s="8"/>
      <c r="O53" s="1"/>
      <c r="P53" s="1"/>
      <c r="R53" s="15"/>
    </row>
    <row r="54" spans="6:18" x14ac:dyDescent="0.25">
      <c r="F54" s="1"/>
      <c r="G54" s="1"/>
      <c r="H54" s="1"/>
      <c r="I54" s="1"/>
      <c r="J54" s="1"/>
      <c r="K54" s="1"/>
      <c r="L54" s="8"/>
      <c r="M54" s="8"/>
      <c r="N54" s="8"/>
      <c r="O54" s="1"/>
      <c r="P54" s="1"/>
      <c r="R54" s="15"/>
    </row>
    <row r="55" spans="6:18" x14ac:dyDescent="0.25">
      <c r="F55" s="1"/>
      <c r="G55" s="1"/>
      <c r="H55" s="1"/>
      <c r="I55" s="1"/>
      <c r="J55" s="1"/>
      <c r="K55" s="1"/>
      <c r="L55" s="8"/>
      <c r="M55" s="8"/>
      <c r="N55" s="8"/>
      <c r="O55" s="1"/>
      <c r="P55" s="1"/>
      <c r="R55" s="15"/>
    </row>
    <row r="56" spans="6:18" x14ac:dyDescent="0.25">
      <c r="F56" s="1"/>
      <c r="G56" s="1"/>
      <c r="H56" s="1"/>
      <c r="I56" s="1"/>
      <c r="J56" s="1"/>
      <c r="K56" s="1"/>
      <c r="L56" s="8"/>
      <c r="M56" s="8"/>
      <c r="N56" s="8"/>
      <c r="O56" s="1"/>
      <c r="P56" s="1"/>
      <c r="R56" s="15"/>
    </row>
    <row r="57" spans="6:18" x14ac:dyDescent="0.25">
      <c r="F57" s="1"/>
      <c r="G57" s="1"/>
      <c r="H57" s="1"/>
      <c r="I57" s="1"/>
      <c r="J57" s="1"/>
      <c r="K57" s="1"/>
      <c r="L57" s="8"/>
      <c r="M57" s="8"/>
      <c r="N57" s="8"/>
      <c r="O57" s="1"/>
      <c r="P57" s="1"/>
      <c r="R57" s="15"/>
    </row>
    <row r="58" spans="6:18" x14ac:dyDescent="0.25">
      <c r="F58" s="1"/>
      <c r="G58" s="1"/>
      <c r="H58" s="1"/>
      <c r="I58" s="1"/>
      <c r="J58" s="1"/>
      <c r="K58" s="1"/>
      <c r="L58" s="8"/>
      <c r="M58" s="8"/>
      <c r="N58" s="8"/>
      <c r="O58" s="1"/>
      <c r="P58" s="1"/>
      <c r="R58" s="15"/>
    </row>
    <row r="59" spans="6:18" x14ac:dyDescent="0.25">
      <c r="F59" s="1"/>
      <c r="G59" s="1"/>
      <c r="H59" s="1"/>
      <c r="I59" s="1"/>
      <c r="J59" s="1"/>
      <c r="K59" s="1"/>
      <c r="L59" s="8"/>
      <c r="M59" s="8"/>
      <c r="N59" s="8"/>
      <c r="O59" s="1"/>
      <c r="P59" s="1"/>
      <c r="R59" s="15"/>
    </row>
    <row r="60" spans="6:18" x14ac:dyDescent="0.25">
      <c r="F60" s="1"/>
      <c r="G60" s="1"/>
      <c r="H60" s="1"/>
      <c r="I60" s="1"/>
      <c r="J60" s="1"/>
      <c r="K60" s="1"/>
      <c r="L60" s="8"/>
      <c r="M60" s="8"/>
      <c r="N60" s="8"/>
      <c r="O60" s="1"/>
      <c r="P60" s="1"/>
      <c r="R60" s="15"/>
    </row>
    <row r="61" spans="6:18" x14ac:dyDescent="0.25">
      <c r="F61" s="1"/>
      <c r="G61" s="1"/>
      <c r="H61" s="1"/>
      <c r="I61" s="1"/>
      <c r="J61" s="1"/>
      <c r="K61" s="1"/>
      <c r="L61" s="8"/>
      <c r="M61" s="8"/>
      <c r="N61" s="8"/>
      <c r="O61" s="1"/>
      <c r="P61" s="1"/>
      <c r="R61" s="15"/>
    </row>
    <row r="62" spans="6:18" x14ac:dyDescent="0.25">
      <c r="F62" s="1"/>
      <c r="G62" s="1"/>
      <c r="H62" s="1"/>
      <c r="I62" s="1"/>
      <c r="J62" s="1"/>
      <c r="K62" s="1"/>
      <c r="L62" s="8"/>
      <c r="M62" s="8"/>
      <c r="N62" s="8"/>
      <c r="O62" s="1"/>
      <c r="P62" s="1"/>
      <c r="R62" s="15"/>
    </row>
    <row r="63" spans="6:18" x14ac:dyDescent="0.25">
      <c r="F63" s="1"/>
      <c r="G63" s="1"/>
      <c r="H63" s="1"/>
      <c r="I63" s="1"/>
      <c r="J63" s="1"/>
      <c r="K63" s="1"/>
      <c r="L63" s="8"/>
      <c r="M63" s="8"/>
      <c r="N63" s="8"/>
      <c r="O63" s="1"/>
      <c r="P63" s="1"/>
      <c r="R63" s="15"/>
    </row>
  </sheetData>
  <sortState ref="A12:P63">
    <sortCondition descending="1" ref="K12:K63"/>
  </sortState>
  <mergeCells count="11">
    <mergeCell ref="V11:W12"/>
    <mergeCell ref="A10:E10"/>
    <mergeCell ref="B9:D9"/>
    <mergeCell ref="B7:C7"/>
    <mergeCell ref="B8:C8"/>
    <mergeCell ref="B6:C6"/>
    <mergeCell ref="B5:C5"/>
    <mergeCell ref="B1:C1"/>
    <mergeCell ref="B2:C2"/>
    <mergeCell ref="B3:C3"/>
    <mergeCell ref="B4:C4"/>
  </mergeCells>
  <conditionalFormatting sqref="F20:J63 G16:J19 H13:J15">
    <cfRule type="expression" dxfId="6" priority="10">
      <formula>F13&gt;179</formula>
    </cfRule>
  </conditionalFormatting>
  <conditionalFormatting sqref="K13:K19">
    <cfRule type="expression" dxfId="5" priority="8">
      <formula>K13&lt;536.9</formula>
    </cfRule>
    <cfRule type="expression" dxfId="4" priority="9">
      <formula>K13&gt;537</formula>
    </cfRule>
  </conditionalFormatting>
  <conditionalFormatting sqref="F13:F19">
    <cfRule type="expression" dxfId="3" priority="4">
      <formula>F13&gt;179</formula>
    </cfRule>
  </conditionalFormatting>
  <conditionalFormatting sqref="G14">
    <cfRule type="expression" dxfId="2" priority="3">
      <formula>G14&gt;179</formula>
    </cfRule>
  </conditionalFormatting>
  <conditionalFormatting sqref="G15">
    <cfRule type="expression" dxfId="1" priority="2">
      <formula>G15&gt;179</formula>
    </cfRule>
  </conditionalFormatting>
  <conditionalFormatting sqref="G13">
    <cfRule type="expression" dxfId="0" priority="1">
      <formula>G13&gt;179</formula>
    </cfRule>
  </conditionalFormatting>
  <hyperlinks>
    <hyperlink ref="B9" r:id="rId1" xr:uid="{03C52ECE-4FAB-4182-B05A-C2734D018274}"/>
    <hyperlink ref="C13" r:id="rId2" xr:uid="{A3973C94-731B-48FD-8645-4B13BA90CBE2}"/>
    <hyperlink ref="C17" r:id="rId3" xr:uid="{A9AC3727-FE5B-4263-840C-E049BE92FCB0}"/>
    <hyperlink ref="C18" r:id="rId4" xr:uid="{965F97C3-CCB5-4A25-95D3-0958EA72CA19}"/>
    <hyperlink ref="C14" r:id="rId5" xr:uid="{AE14377C-2CD4-4B2B-BB78-9250B7BE9527}"/>
    <hyperlink ref="C15" r:id="rId6" xr:uid="{DD399DCD-3918-48C5-98A0-7C88182A648F}"/>
    <hyperlink ref="C16" r:id="rId7" xr:uid="{B41D491F-EB56-4365-BFF1-86BBDFDF5B42}"/>
    <hyperlink ref="C19" r:id="rId8" xr:uid="{3287DB1F-156D-4F19-80F1-E4F62561C604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ordenar">
                <anchor moveWithCells="1" sizeWithCells="1">
                  <from>
                    <xdr:col>10</xdr:col>
                    <xdr:colOff>57150</xdr:colOff>
                    <xdr:row>9</xdr:row>
                    <xdr:rowOff>9525</xdr:rowOff>
                  </from>
                  <to>
                    <xdr:col>10</xdr:col>
                    <xdr:colOff>714375</xdr:colOff>
                    <xdr:row>9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</dc:creator>
  <cp:lastModifiedBy>GIGABYTE</cp:lastModifiedBy>
  <dcterms:created xsi:type="dcterms:W3CDTF">2024-01-12T20:32:16Z</dcterms:created>
  <dcterms:modified xsi:type="dcterms:W3CDTF">2024-04-25T16:37:59Z</dcterms:modified>
</cp:coreProperties>
</file>